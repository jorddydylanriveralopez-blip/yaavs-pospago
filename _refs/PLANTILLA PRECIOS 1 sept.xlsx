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ehgo02\Documents\Escritorio\SERGIO\FORMATOS\"/>
    </mc:Choice>
  </mc:AlternateContent>
  <xr:revisionPtr revIDLastSave="0" documentId="8_{A37510E9-AB48-4A4A-BCD1-334CC785BB1D}" xr6:coauthVersionLast="47" xr6:coauthVersionMax="47" xr10:uidLastSave="{00000000-0000-0000-0000-000000000000}"/>
  <bookViews>
    <workbookView xWindow="-120" yWindow="-120" windowWidth="20730" windowHeight="11040" xr2:uid="{2442D2ED-8F1F-4EE8-A94A-864ED8C07B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G3" i="1" s="1"/>
  <c r="H3" i="1" l="1"/>
  <c r="E13" i="1" l="1"/>
  <c r="H13" i="1" s="1"/>
  <c r="E4" i="1"/>
  <c r="H4" i="1" s="1"/>
  <c r="E5" i="1"/>
  <c r="H5" i="1" s="1"/>
  <c r="E6" i="1"/>
  <c r="H6" i="1" s="1"/>
  <c r="E7" i="1"/>
  <c r="G7" i="1" s="1"/>
  <c r="E8" i="1"/>
  <c r="H8" i="1" s="1"/>
  <c r="E9" i="1"/>
  <c r="H9" i="1" s="1"/>
  <c r="E10" i="1"/>
  <c r="H10" i="1" s="1"/>
  <c r="E11" i="1"/>
  <c r="H11" i="1" s="1"/>
  <c r="E12" i="1"/>
  <c r="H12" i="1" s="1"/>
  <c r="E2" i="1"/>
  <c r="G2" i="1" s="1"/>
  <c r="H7" i="1" l="1"/>
  <c r="G10" i="1"/>
  <c r="G5" i="1"/>
  <c r="G9" i="1"/>
  <c r="G4" i="1"/>
  <c r="G8" i="1"/>
  <c r="H2" i="1"/>
  <c r="G13" i="1"/>
  <c r="G12" i="1"/>
  <c r="G11" i="1"/>
  <c r="G6" i="1"/>
</calcChain>
</file>

<file path=xl/sharedStrings.xml><?xml version="1.0" encoding="utf-8"?>
<sst xmlns="http://schemas.openxmlformats.org/spreadsheetml/2006/main" count="34" uniqueCount="25">
  <si>
    <t>PRECIO PROMOCIONAL</t>
  </si>
  <si>
    <t>MODELO DEL EQUIPO</t>
  </si>
  <si>
    <t>PLAN</t>
  </si>
  <si>
    <t>COSTO DEL PLAN (CONTROL INCLUIDO)</t>
  </si>
  <si>
    <t xml:space="preserve">PLAZO </t>
  </si>
  <si>
    <t>MENSUALIDAD</t>
  </si>
  <si>
    <t>Apple iPhone 17 Pro Max 256GB</t>
  </si>
  <si>
    <t>BLACK</t>
  </si>
  <si>
    <t>Apple iPhone 17 256GB</t>
  </si>
  <si>
    <t>Honor Magic 8 Lite 512GB 5G Bundle Headphones</t>
  </si>
  <si>
    <t>Honor X8D</t>
  </si>
  <si>
    <t>PLATA</t>
  </si>
  <si>
    <t>AZUL 3</t>
  </si>
  <si>
    <t>Motorola Moto G77</t>
  </si>
  <si>
    <t>Oppo A6x</t>
  </si>
  <si>
    <t>Samsung Galaxy A57 256GB</t>
  </si>
  <si>
    <t>Samsung Galaxy S26 Ultra 512GB</t>
  </si>
  <si>
    <t>ENGANCHE 50%*</t>
  </si>
  <si>
    <t>* EL PAGO INICIAL VAREA POR CAPACIDAD DE PAGO CADA CLIENTE</t>
  </si>
  <si>
    <t>MENSUALIDAD 20% PORTABILIDAD*</t>
  </si>
  <si>
    <t>*20% DE DESCUENTO POR PORTABILIDAD AL ACTIVAR LINEA NUEVA O ADICIONAL CONSERVANDO SU NUMERO</t>
  </si>
  <si>
    <t>Motorola Moto Edge 70 Pro + Watch + Chamarra</t>
  </si>
  <si>
    <t>Xiaomi Redmi Note 17 Bundle Sound Pocket</t>
  </si>
  <si>
    <t>Xiaomi 17T Pro Bundle Redmi Pad 2</t>
  </si>
  <si>
    <t>Xiaomi 17T Bundle Sound Outdoor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</si>
</sst>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;[Red]\-&quot;$&quot;#,##0"/>
    <numFmt numFmtId="164" formatCode="&quot;$&quot;#,##0.00"/>
    <numFmt numFmtId="165" formatCode="&quot;$&quot;#,##0.0;[Red]\-&quot;$&quot;#,##0.0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6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2A87C-A728-437E-B8B3-E3512515C44F}">
  <dimension ref="A1:I16"/>
  <sheetViews>
    <sheetView tabSelected="1" workbookViewId="0">
      <selection activeCell="D19" sqref="D19"/>
    </sheetView>
  </sheetViews>
  <sheetFormatPr baseColWidth="10" defaultRowHeight="15" x14ac:dyDescent="0.25"/>
  <cols>
    <col min="1" max="1" width="21.7109375" style="1" bestFit="1" customWidth="1"/>
    <col min="2" max="2" width="44.85546875" style="1" bestFit="1" customWidth="1"/>
    <col min="3" max="3" width="6.85546875" style="1" bestFit="1" customWidth="1"/>
    <col min="4" max="4" width="35.5703125" style="1" bestFit="1" customWidth="1"/>
    <col min="5" max="5" width="15.85546875" style="1" bestFit="1" customWidth="1"/>
    <col min="6" max="6" width="7.140625" style="1" bestFit="1" customWidth="1"/>
    <col min="7" max="7" width="14" style="1" bestFit="1" customWidth="1"/>
    <col min="8" max="8" width="33" style="1" bestFit="1" customWidth="1"/>
    <col min="9" max="16384" width="11.42578125" style="1"/>
  </cols>
  <sheetData>
    <row r="1" spans="1:9" x14ac:dyDescent="0.25">
      <c r="A1" s="3" t="s">
        <v>0</v>
      </c>
      <c r="B1" s="3" t="s">
        <v>1</v>
      </c>
      <c r="C1" s="3" t="s">
        <v>2</v>
      </c>
      <c r="D1" s="4" t="s">
        <v>3</v>
      </c>
      <c r="E1" s="3" t="s">
        <v>17</v>
      </c>
      <c r="F1" s="3" t="s">
        <v>4</v>
      </c>
      <c r="G1" s="3" t="s">
        <v>5</v>
      </c>
      <c r="H1" s="3" t="s">
        <v>19</v>
      </c>
    </row>
    <row r="2" spans="1:9" x14ac:dyDescent="0.25">
      <c r="A2" s="10">
        <v>24039.72</v>
      </c>
      <c r="B2" s="6" t="s">
        <v>6</v>
      </c>
      <c r="C2" s="6" t="s">
        <v>7</v>
      </c>
      <c r="D2" s="7">
        <v>875</v>
      </c>
      <c r="E2" s="8">
        <f>A2/2</f>
        <v>12019.86</v>
      </c>
      <c r="F2" s="6">
        <v>24</v>
      </c>
      <c r="G2" s="8">
        <f>E2/F2+D2</f>
        <v>1375.8275000000001</v>
      </c>
      <c r="H2" s="8">
        <f>D2*0.8+E2/F2</f>
        <v>1200.8275000000001</v>
      </c>
      <c r="I2" s="2"/>
    </row>
    <row r="3" spans="1:9" x14ac:dyDescent="0.25">
      <c r="A3" s="10">
        <v>14989.25</v>
      </c>
      <c r="B3" s="6" t="s">
        <v>8</v>
      </c>
      <c r="C3" s="6" t="s">
        <v>7</v>
      </c>
      <c r="D3" s="7">
        <v>875</v>
      </c>
      <c r="E3" s="8">
        <f t="shared" ref="E3:E12" si="0">A3/2</f>
        <v>7494.625</v>
      </c>
      <c r="F3" s="6">
        <v>24</v>
      </c>
      <c r="G3" s="8">
        <f t="shared" ref="G3:G13" si="1">E3/F3+D3</f>
        <v>1187.2760416666667</v>
      </c>
      <c r="H3" s="8">
        <f t="shared" ref="H3:H13" si="2">D3*0.8+E3/F3</f>
        <v>1012.2760416666667</v>
      </c>
    </row>
    <row r="4" spans="1:9" x14ac:dyDescent="0.25">
      <c r="A4" s="10">
        <v>3398.66</v>
      </c>
      <c r="B4" s="6" t="s">
        <v>9</v>
      </c>
      <c r="C4" s="6" t="s">
        <v>7</v>
      </c>
      <c r="D4" s="7">
        <v>875</v>
      </c>
      <c r="E4" s="8">
        <f t="shared" si="0"/>
        <v>1699.33</v>
      </c>
      <c r="F4" s="6">
        <v>24</v>
      </c>
      <c r="G4" s="8">
        <f t="shared" si="1"/>
        <v>945.8054166666667</v>
      </c>
      <c r="H4" s="8">
        <f t="shared" si="2"/>
        <v>770.8054166666667</v>
      </c>
    </row>
    <row r="5" spans="1:9" x14ac:dyDescent="0.25">
      <c r="A5" s="10">
        <v>2288.67</v>
      </c>
      <c r="B5" s="6" t="s">
        <v>10</v>
      </c>
      <c r="C5" s="6" t="s">
        <v>11</v>
      </c>
      <c r="D5" s="7">
        <v>700</v>
      </c>
      <c r="E5" s="8">
        <f t="shared" si="0"/>
        <v>1144.335</v>
      </c>
      <c r="F5" s="6">
        <v>24</v>
      </c>
      <c r="G5" s="8">
        <f t="shared" si="1"/>
        <v>747.68062499999996</v>
      </c>
      <c r="H5" s="8">
        <f t="shared" si="2"/>
        <v>607.68062499999996</v>
      </c>
    </row>
    <row r="6" spans="1:9" x14ac:dyDescent="0.25">
      <c r="A6" s="10">
        <v>10899.46</v>
      </c>
      <c r="B6" s="11" t="s">
        <v>21</v>
      </c>
      <c r="C6" s="6" t="s">
        <v>7</v>
      </c>
      <c r="D6" s="7">
        <v>875</v>
      </c>
      <c r="E6" s="8">
        <f t="shared" si="0"/>
        <v>5449.73</v>
      </c>
      <c r="F6" s="6">
        <v>24</v>
      </c>
      <c r="G6" s="8">
        <f t="shared" si="1"/>
        <v>1102.0720833333332</v>
      </c>
      <c r="H6" s="8">
        <f t="shared" si="2"/>
        <v>927.07208333333335</v>
      </c>
    </row>
    <row r="7" spans="1:9" x14ac:dyDescent="0.25">
      <c r="A7" s="10">
        <v>1978.95</v>
      </c>
      <c r="B7" s="6" t="s">
        <v>13</v>
      </c>
      <c r="C7" s="6" t="s">
        <v>7</v>
      </c>
      <c r="D7" s="7">
        <v>875</v>
      </c>
      <c r="E7" s="8">
        <f t="shared" si="0"/>
        <v>989.47500000000002</v>
      </c>
      <c r="F7" s="6">
        <v>24</v>
      </c>
      <c r="G7" s="8">
        <f t="shared" si="1"/>
        <v>916.22812499999998</v>
      </c>
      <c r="H7" s="8">
        <f t="shared" si="2"/>
        <v>741.22812499999998</v>
      </c>
    </row>
    <row r="8" spans="1:9" x14ac:dyDescent="0.25">
      <c r="A8" s="5">
        <v>0</v>
      </c>
      <c r="B8" s="6" t="s">
        <v>14</v>
      </c>
      <c r="C8" s="6" t="s">
        <v>12</v>
      </c>
      <c r="D8" s="7">
        <v>600</v>
      </c>
      <c r="E8" s="8">
        <f t="shared" si="0"/>
        <v>0</v>
      </c>
      <c r="F8" s="6">
        <v>36</v>
      </c>
      <c r="G8" s="8">
        <f t="shared" si="1"/>
        <v>600</v>
      </c>
      <c r="H8" s="8">
        <f t="shared" si="2"/>
        <v>480</v>
      </c>
    </row>
    <row r="9" spans="1:9" x14ac:dyDescent="0.25">
      <c r="A9" s="10">
        <v>4398.83</v>
      </c>
      <c r="B9" s="6" t="s">
        <v>15</v>
      </c>
      <c r="C9" s="6" t="s">
        <v>7</v>
      </c>
      <c r="D9" s="7">
        <v>875</v>
      </c>
      <c r="E9" s="8">
        <f t="shared" si="0"/>
        <v>2199.415</v>
      </c>
      <c r="F9" s="6">
        <v>24</v>
      </c>
      <c r="G9" s="8">
        <f t="shared" si="1"/>
        <v>966.64229166666667</v>
      </c>
      <c r="H9" s="8">
        <f t="shared" si="2"/>
        <v>791.64229166666667</v>
      </c>
    </row>
    <row r="10" spans="1:9" x14ac:dyDescent="0.25">
      <c r="A10" s="10">
        <v>15598.59</v>
      </c>
      <c r="B10" s="6" t="s">
        <v>16</v>
      </c>
      <c r="C10" s="6" t="s">
        <v>7</v>
      </c>
      <c r="D10" s="7">
        <v>875</v>
      </c>
      <c r="E10" s="8">
        <f t="shared" si="0"/>
        <v>7799.2950000000001</v>
      </c>
      <c r="F10" s="6">
        <v>24</v>
      </c>
      <c r="G10" s="8">
        <f t="shared" si="1"/>
        <v>1199.9706249999999</v>
      </c>
      <c r="H10" s="8">
        <f t="shared" si="2"/>
        <v>1024.9706249999999</v>
      </c>
    </row>
    <row r="11" spans="1:9" x14ac:dyDescent="0.25">
      <c r="A11" s="10">
        <v>1769.03</v>
      </c>
      <c r="B11" s="11" t="s">
        <v>22</v>
      </c>
      <c r="C11" s="6" t="s">
        <v>7</v>
      </c>
      <c r="D11" s="7">
        <v>700</v>
      </c>
      <c r="E11" s="8">
        <f t="shared" si="0"/>
        <v>884.51499999999999</v>
      </c>
      <c r="F11" s="6">
        <v>24</v>
      </c>
      <c r="G11" s="8">
        <f t="shared" si="1"/>
        <v>736.85479166666664</v>
      </c>
      <c r="H11" s="8">
        <f t="shared" si="2"/>
        <v>596.85479166666664</v>
      </c>
    </row>
    <row r="12" spans="1:9" x14ac:dyDescent="0.25">
      <c r="A12" s="10">
        <v>10799.79</v>
      </c>
      <c r="B12" s="11" t="s">
        <v>23</v>
      </c>
      <c r="C12" s="6" t="s">
        <v>7</v>
      </c>
      <c r="D12" s="7">
        <v>875</v>
      </c>
      <c r="E12" s="8">
        <f t="shared" si="0"/>
        <v>5399.8950000000004</v>
      </c>
      <c r="F12" s="6">
        <v>24</v>
      </c>
      <c r="G12" s="8">
        <f t="shared" si="1"/>
        <v>1099.995625</v>
      </c>
      <c r="H12" s="8">
        <f t="shared" si="2"/>
        <v>924.99562500000002</v>
      </c>
    </row>
    <row r="13" spans="1:9" x14ac:dyDescent="0.25">
      <c r="A13" s="10">
        <v>7098.76</v>
      </c>
      <c r="B13" s="11" t="s">
        <v>24</v>
      </c>
      <c r="C13" s="6" t="s">
        <v>7</v>
      </c>
      <c r="D13" s="7">
        <v>875</v>
      </c>
      <c r="E13" s="8">
        <f>A13/2</f>
        <v>3549.38</v>
      </c>
      <c r="F13" s="6">
        <v>24</v>
      </c>
      <c r="G13" s="8">
        <f t="shared" si="1"/>
        <v>1022.8908333333334</v>
      </c>
      <c r="H13" s="8">
        <f t="shared" si="2"/>
        <v>847.89083333333338</v>
      </c>
    </row>
    <row r="14" spans="1:9" x14ac:dyDescent="0.25">
      <c r="A14" s="6"/>
      <c r="B14" s="6"/>
      <c r="C14" s="6"/>
      <c r="D14" s="6"/>
      <c r="E14" s="6"/>
      <c r="F14" s="6"/>
      <c r="G14" s="6"/>
      <c r="H14" s="6"/>
    </row>
    <row r="15" spans="1:9" x14ac:dyDescent="0.25">
      <c r="A15" s="9" t="s">
        <v>18</v>
      </c>
      <c r="B15" s="9"/>
      <c r="C15" s="9"/>
      <c r="D15" s="9"/>
      <c r="E15" s="9"/>
      <c r="F15" s="9"/>
      <c r="G15" s="9"/>
      <c r="H15" s="9"/>
    </row>
    <row r="16" spans="1:9" x14ac:dyDescent="0.25">
      <c r="A16" s="9" t="s">
        <v>20</v>
      </c>
      <c r="B16" s="9"/>
      <c r="C16" s="9"/>
      <c r="D16" s="9"/>
      <c r="E16" s="9"/>
      <c r="F16" s="9"/>
      <c r="G16" s="9"/>
      <c r="H16" s="9"/>
    </row>
  </sheetData>
  <mergeCells count="2">
    <mergeCell ref="A15:H15"/>
    <mergeCell ref="A16:H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Grupo Yaavs</dc:creator>
  <cp:lastModifiedBy>Grupo Yaavs</cp:lastModifiedBy>
  <dcterms:created xsi:type="dcterms:W3CDTF">2026-04-21T00:25:32Z</dcterms:created>
  <dcterms:modified xsi:type="dcterms:W3CDTF">2026-08-31T21:08:49Z</dcterms:modified>
</cp:coreProperties>
</file>